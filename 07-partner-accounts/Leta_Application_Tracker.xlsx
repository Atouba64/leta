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cker" sheetId="1" r:id="rId1"/>
    <sheet name="Dashboard" sheetId="2" r:id="rId2"/>
  </sheets>
  <calcPr calcId="124519" fullCalcOnLoad="1"/>
</workbook>
</file>

<file path=xl/sharedStrings.xml><?xml version="1.0" encoding="utf-8"?>
<sst xmlns="http://schemas.openxmlformats.org/spreadsheetml/2006/main" count="124" uniqueCount="79">
  <si>
    <t>Platform</t>
  </si>
  <si>
    <t>Category</t>
  </si>
  <si>
    <t>URL</t>
  </si>
  <si>
    <t>Status</t>
  </si>
  <si>
    <t>Target Services</t>
  </si>
  <si>
    <t>Notes</t>
  </si>
  <si>
    <t>Action Date</t>
  </si>
  <si>
    <t>SAM.gov</t>
  </si>
  <si>
    <t>GSA MAS (eOffer)</t>
  </si>
  <si>
    <t>USAC E-Rate</t>
  </si>
  <si>
    <t>Team Georgia Marketplace</t>
  </si>
  <si>
    <t>Georgia DOAS</t>
  </si>
  <si>
    <t>ATLSuppliers</t>
  </si>
  <si>
    <t>USG Procurement</t>
  </si>
  <si>
    <t>Sourcewell</t>
  </si>
  <si>
    <t>Field Nation</t>
  </si>
  <si>
    <t>CloudWork|PRO</t>
  </si>
  <si>
    <t>WorkMarket (ADP)</t>
  </si>
  <si>
    <t>Tech-Connect</t>
  </si>
  <si>
    <t>Beeline Supplier Network</t>
  </si>
  <si>
    <t>SAP Ariba</t>
  </si>
  <si>
    <t>Coupa Supplier Portal</t>
  </si>
  <si>
    <t>Magnit (PRO Unlimited)</t>
  </si>
  <si>
    <t>ServiceChannel</t>
  </si>
  <si>
    <t>Corrigo / CorrigoPro</t>
  </si>
  <si>
    <t>Verisae (Accruent)</t>
  </si>
  <si>
    <t>Fexa / Fexa Link</t>
  </si>
  <si>
    <t>Federal</t>
  </si>
  <si>
    <t>State &amp; Local</t>
  </si>
  <si>
    <t>Marketplace</t>
  </si>
  <si>
    <t>Corporate VMS</t>
  </si>
  <si>
    <t>Enterprise CMMS</t>
  </si>
  <si>
    <t>https://sam.gov/</t>
  </si>
  <si>
    <t>https://eoffer.gsa.gov/</t>
  </si>
  <si>
    <t>https://www.usac.org/sl/</t>
  </si>
  <si>
    <t>https://fscm.teamworks.georgia.gov/</t>
  </si>
  <si>
    <t>https://www.doas.ga.gov/state-purchasing/supplier-registration-bid-notices</t>
  </si>
  <si>
    <t>https://www.atlsuppliers.com/</t>
  </si>
  <si>
    <t>https://www.usg.edu/procurement/</t>
  </si>
  <si>
    <t>https://www.sourcewell-mn.gov/</t>
  </si>
  <si>
    <t>https://fieldnation.com/signup/plus</t>
  </si>
  <si>
    <t>https://cloudworkpro.com/independent-technicians/</t>
  </si>
  <si>
    <t>https://www.workmarket.com/contractors/join-workmarket</t>
  </si>
  <si>
    <t>https://www.tech-connect.com/</t>
  </si>
  <si>
    <t>https://bsn.beeline.com/</t>
  </si>
  <si>
    <t>https://supplier.ariba.com/</t>
  </si>
  <si>
    <t>https://supplier.coupahost.com/</t>
  </si>
  <si>
    <t>https://magnitglobal.com/us/en/partners/supplier-network.html</t>
  </si>
  <si>
    <t>https://servicechannel.com/</t>
  </si>
  <si>
    <t>https://corrigopro.com/</t>
  </si>
  <si>
    <t>https://www.accruent.com/solutions/verisae</t>
  </si>
  <si>
    <t>https://info.fexa.io/</t>
  </si>
  <si>
    <t>Not Started</t>
  </si>
  <si>
    <t>federal subcontract baseline</t>
  </si>
  <si>
    <t>federal IT schedule</t>
  </si>
  <si>
    <t>K-12 infrastructure</t>
  </si>
  <si>
    <t>government, K-12/higher ed</t>
  </si>
  <si>
    <t>state bids</t>
  </si>
  <si>
    <t>government onsite</t>
  </si>
  <si>
    <t>universities</t>
  </si>
  <si>
    <t>cooperative purchasing</t>
  </si>
  <si>
    <t>break_fix, POS, networking</t>
  </si>
  <si>
    <t>break_fix, smart_hands</t>
  </si>
  <si>
    <t>break_fix, networking</t>
  </si>
  <si>
    <t>smart_hands, networking</t>
  </si>
  <si>
    <t>break_fix, government</t>
  </si>
  <si>
    <t>contingent labor</t>
  </si>
  <si>
    <t>break_fix, CCTV</t>
  </si>
  <si>
    <t>break_fix, c-store</t>
  </si>
  <si>
    <t>break_fix</t>
  </si>
  <si>
    <t>Profile created; completion pending</t>
  </si>
  <si>
    <t>Leta Application Tracker Dashboard</t>
  </si>
  <si>
    <t>Status Summary</t>
  </si>
  <si>
    <t>Count</t>
  </si>
  <si>
    <t>Submitted</t>
  </si>
  <si>
    <t>Under Review</t>
  </si>
  <si>
    <t>Approved</t>
  </si>
  <si>
    <t>Rejected</t>
  </si>
  <si>
    <t>Total Platforms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</si>
</sst>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0" xfId="1" applyAlignment="1" applyProtection="1"/>
    <xf numFmtId="0" fontId="3" fillId="0" borderId="0" xfId="0" applyFont="1"/>
    <xf numFmtId="0" fontId="1" fillId="0" borderId="2" xfId="0" applyFont="1" applyBorder="1"/>
    <xf numFmtId="0" fontId="1" fillId="0" borderId="3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am.gov/" TargetMode="External"/><Relationship Id="rId2" Type="http://schemas.openxmlformats.org/officeDocument/2006/relationships/hyperlink" Target="https://eoffer.gsa.gov/" TargetMode="External"/><Relationship Id="rId3" Type="http://schemas.openxmlformats.org/officeDocument/2006/relationships/hyperlink" Target="https://www.usac.org/sl/" TargetMode="External"/><Relationship Id="rId4" Type="http://schemas.openxmlformats.org/officeDocument/2006/relationships/hyperlink" Target="https://fscm.teamworks.georgia.gov/" TargetMode="External"/><Relationship Id="rId5" Type="http://schemas.openxmlformats.org/officeDocument/2006/relationships/hyperlink" Target="https://www.doas.ga.gov/state-purchasing/supplier-registration-bid-notices" TargetMode="External"/><Relationship Id="rId6" Type="http://schemas.openxmlformats.org/officeDocument/2006/relationships/hyperlink" Target="https://www.atlsuppliers.com/" TargetMode="External"/><Relationship Id="rId7" Type="http://schemas.openxmlformats.org/officeDocument/2006/relationships/hyperlink" Target="https://www.usg.edu/procurement/" TargetMode="External"/><Relationship Id="rId8" Type="http://schemas.openxmlformats.org/officeDocument/2006/relationships/hyperlink" Target="https://www.sourcewell-mn.gov/" TargetMode="External"/><Relationship Id="rId9" Type="http://schemas.openxmlformats.org/officeDocument/2006/relationships/hyperlink" Target="https://fieldnation.com/signup/plus" TargetMode="External"/><Relationship Id="rId10" Type="http://schemas.openxmlformats.org/officeDocument/2006/relationships/hyperlink" Target="https://cloudworkpro.com/independent-technicians/" TargetMode="External"/><Relationship Id="rId11" Type="http://schemas.openxmlformats.org/officeDocument/2006/relationships/hyperlink" Target="https://www.workmarket.com/contractors/join-workmarket" TargetMode="External"/><Relationship Id="rId12" Type="http://schemas.openxmlformats.org/officeDocument/2006/relationships/hyperlink" Target="https://www.tech-connect.com/" TargetMode="External"/><Relationship Id="rId13" Type="http://schemas.openxmlformats.org/officeDocument/2006/relationships/hyperlink" Target="https://bsn.beeline.com/" TargetMode="External"/><Relationship Id="rId14" Type="http://schemas.openxmlformats.org/officeDocument/2006/relationships/hyperlink" Target="https://supplier.ariba.com/" TargetMode="External"/><Relationship Id="rId15" Type="http://schemas.openxmlformats.org/officeDocument/2006/relationships/hyperlink" Target="https://supplier.coupahost.com/" TargetMode="External"/><Relationship Id="rId16" Type="http://schemas.openxmlformats.org/officeDocument/2006/relationships/hyperlink" Target="https://magnitglobal.com/us/en/partners/supplier-network.html" TargetMode="External"/><Relationship Id="rId17" Type="http://schemas.openxmlformats.org/officeDocument/2006/relationships/hyperlink" Target="https://servicechannel.com/" TargetMode="External"/><Relationship Id="rId18" Type="http://schemas.openxmlformats.org/officeDocument/2006/relationships/hyperlink" Target="https://corrigopro.com/" TargetMode="External"/><Relationship Id="rId19" Type="http://schemas.openxmlformats.org/officeDocument/2006/relationships/hyperlink" Target="https://www.accruent.com/solutions/verisae" TargetMode="External"/><Relationship Id="rId20" Type="http://schemas.openxmlformats.org/officeDocument/2006/relationships/hyperlink" Target="https://info.fexa.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cols>
    <col min="1" max="1" width="25.7109375" customWidth="1"/>
    <col min="2" max="2" width="15.7109375" customWidth="1"/>
    <col min="3" max="3" width="40.7109375" customWidth="1"/>
    <col min="4" max="4" width="15.7109375" customWidth="1"/>
    <col min="5" max="5" width="30.7109375" customWidth="1"/>
    <col min="6" max="6" width="40.7109375" customWidth="1"/>
    <col min="7" max="7" width="15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27</v>
      </c>
      <c r="C2" s="2" t="s">
        <v>32</v>
      </c>
      <c r="D2" t="s">
        <v>52</v>
      </c>
      <c r="E2" t="s">
        <v>53</v>
      </c>
    </row>
    <row r="3" spans="1:7">
      <c r="A3" t="s">
        <v>8</v>
      </c>
      <c r="B3" t="s">
        <v>27</v>
      </c>
      <c r="C3" s="2" t="s">
        <v>33</v>
      </c>
      <c r="D3" t="s">
        <v>52</v>
      </c>
      <c r="E3" t="s">
        <v>54</v>
      </c>
    </row>
    <row r="4" spans="1:7">
      <c r="A4" t="s">
        <v>9</v>
      </c>
      <c r="B4" t="s">
        <v>27</v>
      </c>
      <c r="C4" s="2" t="s">
        <v>34</v>
      </c>
      <c r="D4" t="s">
        <v>52</v>
      </c>
      <c r="E4" t="s">
        <v>55</v>
      </c>
    </row>
    <row r="5" spans="1:7">
      <c r="A5" t="s">
        <v>10</v>
      </c>
      <c r="B5" t="s">
        <v>28</v>
      </c>
      <c r="C5" s="2" t="s">
        <v>35</v>
      </c>
      <c r="D5" t="s">
        <v>52</v>
      </c>
      <c r="E5" t="s">
        <v>56</v>
      </c>
    </row>
    <row r="6" spans="1:7">
      <c r="A6" t="s">
        <v>11</v>
      </c>
      <c r="B6" t="s">
        <v>28</v>
      </c>
      <c r="C6" s="2" t="s">
        <v>36</v>
      </c>
      <c r="D6" t="s">
        <v>52</v>
      </c>
      <c r="E6" t="s">
        <v>57</v>
      </c>
    </row>
    <row r="7" spans="1:7">
      <c r="A7" t="s">
        <v>12</v>
      </c>
      <c r="B7" t="s">
        <v>28</v>
      </c>
      <c r="C7" s="2" t="s">
        <v>37</v>
      </c>
      <c r="D7" t="s">
        <v>52</v>
      </c>
      <c r="E7" t="s">
        <v>58</v>
      </c>
    </row>
    <row r="8" spans="1:7">
      <c r="A8" t="s">
        <v>13</v>
      </c>
      <c r="B8" t="s">
        <v>28</v>
      </c>
      <c r="C8" s="2" t="s">
        <v>38</v>
      </c>
      <c r="D8" t="s">
        <v>52</v>
      </c>
      <c r="E8" t="s">
        <v>59</v>
      </c>
    </row>
    <row r="9" spans="1:7">
      <c r="A9" t="s">
        <v>14</v>
      </c>
      <c r="B9" t="s">
        <v>28</v>
      </c>
      <c r="C9" s="2" t="s">
        <v>39</v>
      </c>
      <c r="D9" t="s">
        <v>52</v>
      </c>
      <c r="E9" t="s">
        <v>60</v>
      </c>
    </row>
    <row r="10" spans="1:7">
      <c r="A10" t="s">
        <v>15</v>
      </c>
      <c r="B10" t="s">
        <v>29</v>
      </c>
      <c r="C10" s="2" t="s">
        <v>40</v>
      </c>
      <c r="D10" t="s">
        <v>52</v>
      </c>
      <c r="E10" t="s">
        <v>61</v>
      </c>
      <c r="F10" t="s">
        <v>70</v>
      </c>
    </row>
    <row r="11" spans="1:7">
      <c r="A11" t="s">
        <v>16</v>
      </c>
      <c r="B11" t="s">
        <v>29</v>
      </c>
      <c r="C11" s="2" t="s">
        <v>41</v>
      </c>
      <c r="D11" t="s">
        <v>52</v>
      </c>
      <c r="E11" t="s">
        <v>61</v>
      </c>
    </row>
    <row r="12" spans="1:7">
      <c r="A12" t="s">
        <v>17</v>
      </c>
      <c r="B12" t="s">
        <v>29</v>
      </c>
      <c r="C12" s="2" t="s">
        <v>42</v>
      </c>
      <c r="D12" t="s">
        <v>52</v>
      </c>
      <c r="E12" t="s">
        <v>62</v>
      </c>
    </row>
    <row r="13" spans="1:7">
      <c r="A13" t="s">
        <v>18</v>
      </c>
      <c r="B13" t="s">
        <v>29</v>
      </c>
      <c r="C13" s="2" t="s">
        <v>43</v>
      </c>
      <c r="D13" t="s">
        <v>52</v>
      </c>
      <c r="E13" t="s">
        <v>63</v>
      </c>
    </row>
    <row r="14" spans="1:7">
      <c r="A14" t="s">
        <v>19</v>
      </c>
      <c r="B14" t="s">
        <v>30</v>
      </c>
      <c r="C14" s="2" t="s">
        <v>44</v>
      </c>
      <c r="D14" t="s">
        <v>52</v>
      </c>
      <c r="E14" t="s">
        <v>64</v>
      </c>
    </row>
    <row r="15" spans="1:7">
      <c r="A15" t="s">
        <v>20</v>
      </c>
      <c r="B15" t="s">
        <v>30</v>
      </c>
      <c r="C15" s="2" t="s">
        <v>45</v>
      </c>
      <c r="D15" t="s">
        <v>52</v>
      </c>
      <c r="E15" t="s">
        <v>63</v>
      </c>
    </row>
    <row r="16" spans="1:7">
      <c r="A16" t="s">
        <v>21</v>
      </c>
      <c r="B16" t="s">
        <v>30</v>
      </c>
      <c r="C16" s="2" t="s">
        <v>46</v>
      </c>
      <c r="D16" t="s">
        <v>52</v>
      </c>
      <c r="E16" t="s">
        <v>65</v>
      </c>
    </row>
    <row r="17" spans="1:5">
      <c r="A17" t="s">
        <v>22</v>
      </c>
      <c r="B17" t="s">
        <v>30</v>
      </c>
      <c r="C17" s="2" t="s">
        <v>47</v>
      </c>
      <c r="D17" t="s">
        <v>52</v>
      </c>
      <c r="E17" t="s">
        <v>66</v>
      </c>
    </row>
    <row r="18" spans="1:5">
      <c r="A18" t="s">
        <v>23</v>
      </c>
      <c r="B18" t="s">
        <v>31</v>
      </c>
      <c r="C18" s="2" t="s">
        <v>48</v>
      </c>
      <c r="D18" t="s">
        <v>52</v>
      </c>
      <c r="E18" t="s">
        <v>61</v>
      </c>
    </row>
    <row r="19" spans="1:5">
      <c r="A19" t="s">
        <v>24</v>
      </c>
      <c r="B19" t="s">
        <v>31</v>
      </c>
      <c r="C19" s="2" t="s">
        <v>49</v>
      </c>
      <c r="D19" t="s">
        <v>52</v>
      </c>
      <c r="E19" t="s">
        <v>67</v>
      </c>
    </row>
    <row r="20" spans="1:5">
      <c r="A20" t="s">
        <v>25</v>
      </c>
      <c r="B20" t="s">
        <v>31</v>
      </c>
      <c r="C20" s="2" t="s">
        <v>50</v>
      </c>
      <c r="D20" t="s">
        <v>52</v>
      </c>
      <c r="E20" t="s">
        <v>68</v>
      </c>
    </row>
    <row r="21" spans="1:5">
      <c r="A21" t="s">
        <v>26</v>
      </c>
      <c r="B21" t="s">
        <v>31</v>
      </c>
      <c r="C21" s="2" t="s">
        <v>51</v>
      </c>
      <c r="D21" t="s">
        <v>52</v>
      </c>
      <c r="E21" t="s">
        <v>69</v>
      </c>
    </row>
  </sheetData>
  <dataValidations count="1">
    <dataValidation type="list" allowBlank="1" showInputMessage="1" showErrorMessage="1" sqref="D2:D100">
      <formula1>"Not Started,Submitted,Under Review,Approved,Rejected"</formula1>
    </dataValidation>
  </dataValidations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cols>
    <col min="1" max="1" width="25.7109375" customWidth="1"/>
    <col min="2" max="2" width="15.7109375" customWidth="1"/>
  </cols>
  <sheetData>
    <row r="1" spans="1:2">
      <c r="A1" s="3" t="s">
        <v>71</v>
      </c>
    </row>
    <row r="3" spans="1:2">
      <c r="A3" s="4" t="s">
        <v>72</v>
      </c>
      <c r="B3" s="4" t="s">
        <v>73</v>
      </c>
    </row>
    <row r="4" spans="1:2">
      <c r="A4" t="s">
        <v>52</v>
      </c>
      <c r="B4">
        <f>COUNTIF(Tracker!D:D, "Not Started")</f>
        <v>0</v>
      </c>
    </row>
    <row r="5" spans="1:2">
      <c r="A5" t="s">
        <v>74</v>
      </c>
      <c r="B5">
        <f>COUNTIF(Tracker!D:D, "Submitted")</f>
        <v>0</v>
      </c>
    </row>
    <row r="6" spans="1:2">
      <c r="A6" t="s">
        <v>75</v>
      </c>
      <c r="B6">
        <f>COUNTIF(Tracker!D:D, "Under Review")</f>
        <v>0</v>
      </c>
    </row>
    <row r="7" spans="1:2">
      <c r="A7" t="s">
        <v>76</v>
      </c>
      <c r="B7">
        <f>COUNTIF(Tracker!D:D, "Approved")</f>
        <v>0</v>
      </c>
    </row>
    <row r="8" spans="1:2">
      <c r="A8" t="s">
        <v>77</v>
      </c>
      <c r="B8">
        <f>COUNTIF(Tracker!D:D, "Rejected")</f>
        <v>0</v>
      </c>
    </row>
    <row r="10" spans="1:2">
      <c r="A10" s="5" t="s">
        <v>78</v>
      </c>
      <c r="B10" s="5">
        <f>COUNTA(Tracker!A:A)-1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Tracker</vt:lpstr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2026-06-30T15:58:51Z</dcterms:created>
  <dcterms:modified xsi:type="dcterms:W3CDTF">2026-06-30T15:58:51Z</dcterms:modified>
</cp:coreProperties>
</file>